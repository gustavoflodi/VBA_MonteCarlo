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d39bde481be3f96/Documentos/ProjectsVBA/"/>
    </mc:Choice>
  </mc:AlternateContent>
  <xr:revisionPtr revIDLastSave="10" documentId="8_{F0CF1B76-2171-4336-B4E2-622F2BB3EEC2}" xr6:coauthVersionLast="47" xr6:coauthVersionMax="47" xr10:uidLastSave="{715B485A-33CD-4BBC-9A47-A20450D24F27}"/>
  <bookViews>
    <workbookView xWindow="-108" yWindow="-108" windowWidth="23256" windowHeight="12576" activeTab="2" xr2:uid="{00000000-000D-0000-FFFF-FFFF00000000}"/>
  </bookViews>
  <sheets>
    <sheet name="Main" sheetId="1" r:id="rId1"/>
    <sheet name="Histogram" sheetId="83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24" i="1" l="1"/>
  <c r="L24" i="1" s="1"/>
  <c r="M24" i="1" s="1"/>
  <c r="K23" i="1"/>
  <c r="L23" i="1" s="1"/>
  <c r="M23" i="1" s="1"/>
  <c r="K20" i="1"/>
  <c r="L20" i="1" s="1"/>
  <c r="M20" i="1" s="1"/>
  <c r="K21" i="1"/>
  <c r="L21" i="1" s="1"/>
  <c r="M21" i="1" s="1"/>
  <c r="K22" i="1"/>
  <c r="L22" i="1" s="1"/>
  <c r="M22" i="1" s="1"/>
  <c r="K19" i="1"/>
  <c r="L19" i="1" s="1"/>
  <c r="M19" i="1" s="1"/>
  <c r="K18" i="1"/>
  <c r="L18" i="1" s="1"/>
  <c r="M18" i="1" s="1"/>
  <c r="K16" i="1"/>
  <c r="L16" i="1" s="1"/>
  <c r="M16" i="1" s="1"/>
  <c r="K13" i="1"/>
  <c r="L13" i="1" s="1"/>
  <c r="M13" i="1" s="1"/>
  <c r="K14" i="1"/>
  <c r="L14" i="1" s="1"/>
  <c r="M14" i="1" s="1"/>
  <c r="K17" i="1"/>
  <c r="L17" i="1" s="1"/>
  <c r="M17" i="1" s="1"/>
  <c r="K15" i="1"/>
  <c r="L15" i="1" s="1"/>
  <c r="M15" i="1" s="1"/>
  <c r="K12" i="1"/>
  <c r="L12" i="1" s="1"/>
  <c r="M12" i="1" s="1"/>
  <c r="L11" i="1"/>
  <c r="M11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<sst xmlns="http://schemas.openxmlformats.org/spreadsheetml/2006/main" count="28" uniqueCount="23">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</sst>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"/>
    <numFmt numFmtId="166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2" fontId="0" fillId="2" borderId="1" xfId="0" applyNumberFormat="1" applyFill="1" applyBorder="1"/>
    <xf numFmtId="165" fontId="0" fillId="2" borderId="1" xfId="0" applyNumberFormat="1" applyFill="1" applyBorder="1"/>
    <xf numFmtId="2" fontId="0" fillId="2" borderId="2" xfId="0" applyNumberFormat="1" applyFill="1" applyBorder="1"/>
    <xf numFmtId="166" fontId="0" fillId="2" borderId="3" xfId="2" applyNumberFormat="1" applyFont="1" applyFill="1" applyBorder="1"/>
    <xf numFmtId="165" fontId="0" fillId="2" borderId="2" xfId="0" applyNumberFormat="1" applyFill="1" applyBorder="1"/>
    <xf numFmtId="165" fontId="0" fillId="2" borderId="3" xfId="0" applyNumberFormat="1" applyFill="1" applyBorder="1"/>
    <xf numFmtId="2" fontId="0" fillId="0" borderId="0" xfId="0" applyNumberFormat="1"/>
    <xf numFmtId="10" fontId="0" fillId="0" borderId="0" xfId="2" applyNumberFormat="1" applyFont="1"/>
    <xf numFmtId="9" fontId="0" fillId="2" borderId="3" xfId="2" applyFont="1" applyFill="1" applyBorder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Data'!$A$1:$A$11</c:f>
              <c:numCache>
                <c:formatCode>General</c:formatCode>
                <c:ptCount val="11"/>
                <c:pt idx="0">
                  <c:v>-45</c:v>
                </c:pt>
                <c:pt idx="1">
                  <c:v>-35</c:v>
                </c:pt>
                <c:pt idx="2">
                  <c:v>-25</c:v>
                </c:pt>
                <c:pt idx="3">
                  <c:v>-15</c:v>
                </c:pt>
                <c:pt idx="4">
                  <c:v>-5</c:v>
                </c:pt>
                <c:pt idx="5">
                  <c:v>5</c:v>
                </c:pt>
                <c:pt idx="6">
                  <c:v>15</c:v>
                </c:pt>
                <c:pt idx="7">
                  <c:v>25</c:v>
                </c:pt>
                <c:pt idx="8">
                  <c:v>35</c:v>
                </c:pt>
                <c:pt idx="9">
                  <c:v>45</c:v>
                </c:pt>
                <c:pt idx="10">
                  <c:v>55</c:v>
                </c:pt>
              </c:numCache>
            </c:numRef>
          </c:cat>
          <c:val>
            <c:numRef>
              <c:f>'Histogram Data'!$B$1:$B$11</c:f>
              <c:numCache>
                <c:formatCode>General</c:formatCode>
                <c:ptCount val="11"/>
                <c:pt idx="0">
                  <c:v>8</c:v>
                </c:pt>
                <c:pt idx="1">
                  <c:v>6</c:v>
                </c:pt>
                <c:pt idx="2">
                  <c:v>20</c:v>
                </c:pt>
                <c:pt idx="3">
                  <c:v>13</c:v>
                </c:pt>
                <c:pt idx="4">
                  <c:v>13</c:v>
                </c:pt>
                <c:pt idx="5">
                  <c:v>9</c:v>
                </c:pt>
                <c:pt idx="6">
                  <c:v>12</c:v>
                </c:pt>
                <c:pt idx="7">
                  <c:v>8</c:v>
                </c:pt>
                <c:pt idx="8">
                  <c:v>7</c:v>
                </c:pt>
                <c:pt idx="9">
                  <c:v>0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7-4ED7-B745-577918C61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173807"/>
        <c:axId val="664175471"/>
      </c:barChart>
      <c:catAx>
        <c:axId val="664173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4175471"/>
        <c:crosses val="autoZero"/>
        <c:auto val="1"/>
        <c:lblAlgn val="ctr"/>
        <c:lblOffset val="100"/>
        <c:noMultiLvlLbl val="0"/>
      </c:catAx>
      <c:valAx>
        <c:axId val="664175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4173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E81CE3-42A8-4CEC-B9FB-D8F12210DBE7}">
  <sheetPr codeName="Gráfico1"/>
  <sheetViews>
    <sheetView zoomScale="9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13</xdr:row>
          <xdr:rowOff>76200</xdr:rowOff>
        </xdr:from>
        <xdr:to>
          <xdr:col>4</xdr:col>
          <xdr:colOff>205740</xdr:colOff>
          <xdr:row>15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3533" cy="60113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D2C15F9-AB47-442E-A956-466AA87BC08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zoomScale="110" zoomScaleNormal="145" workbookViewId="0">
      <selection activeCell="B14" sqref="B14"/>
    </sheetView>
  </sheetViews>
  <sheetFormatPr defaultRowHeight="14.4" x14ac:dyDescent="0.3"/>
  <cols>
    <col min="1" max="1" width="19.109375" bestFit="1" customWidth="1"/>
    <col min="2" max="2" width="11.77734375" bestFit="1" customWidth="1"/>
    <col min="3" max="3" width="13.109375" customWidth="1"/>
    <col min="4" max="4" width="9.77734375" bestFit="1" customWidth="1"/>
    <col min="5" max="5" width="10.44140625" bestFit="1" customWidth="1"/>
    <col min="6" max="6" width="10.77734375" customWidth="1"/>
    <col min="7" max="7" width="11.88671875" bestFit="1" customWidth="1"/>
    <col min="8" max="8" width="11" customWidth="1"/>
    <col min="9" max="9" width="9.21875" bestFit="1" customWidth="1"/>
    <col min="10" max="10" width="9.109375" bestFit="1" customWidth="1"/>
  </cols>
  <sheetData>
    <row r="1" spans="1:16" x14ac:dyDescent="0.3">
      <c r="A1" t="s">
        <v>0</v>
      </c>
    </row>
    <row r="2" spans="1:16" ht="15" thickBot="1" x14ac:dyDescent="0.35"/>
    <row r="3" spans="1:16" x14ac:dyDescent="0.3">
      <c r="A3" t="s">
        <v>1</v>
      </c>
      <c r="B3" s="4">
        <v>-5</v>
      </c>
      <c r="D3" t="s">
        <v>2</v>
      </c>
      <c r="E3" s="5">
        <v>50.069411590119955</v>
      </c>
      <c r="G3" t="s">
        <v>3</v>
      </c>
      <c r="H3" s="4">
        <v>-7.5208631625799223</v>
      </c>
    </row>
    <row r="4" spans="1:16" ht="15" thickBot="1" x14ac:dyDescent="0.35">
      <c r="A4" t="s">
        <v>4</v>
      </c>
      <c r="B4" s="6">
        <v>-14.871138824691188</v>
      </c>
      <c r="D4" t="s">
        <v>5</v>
      </c>
      <c r="E4" s="12">
        <v>0.35</v>
      </c>
      <c r="G4" t="s">
        <v>6</v>
      </c>
      <c r="H4" s="7">
        <v>0.11195225715637207</v>
      </c>
    </row>
    <row r="5" spans="1:16" x14ac:dyDescent="0.3">
      <c r="A5" t="s">
        <v>7</v>
      </c>
      <c r="B5" s="8">
        <v>-85.05469951992859</v>
      </c>
    </row>
    <row r="6" spans="1:16" x14ac:dyDescent="0.3">
      <c r="A6" t="s">
        <v>8</v>
      </c>
      <c r="B6" s="8">
        <v>-17.770371556282043</v>
      </c>
      <c r="E6" t="s">
        <v>9</v>
      </c>
    </row>
    <row r="7" spans="1:16" ht="15" thickBot="1" x14ac:dyDescent="0.35">
      <c r="A7" t="s">
        <v>10</v>
      </c>
      <c r="B7" s="9">
        <v>-9.1232793187574348</v>
      </c>
      <c r="E7" t="s">
        <v>11</v>
      </c>
    </row>
    <row r="8" spans="1:16" x14ac:dyDescent="0.3">
      <c r="M8" t="s">
        <v>12</v>
      </c>
    </row>
    <row r="9" spans="1:16" x14ac:dyDescent="0.3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3">
      <c r="A10">
        <v>1</v>
      </c>
      <c r="B10" s="10">
        <f>0.5*CTDC</f>
        <v>-42.527349759964295</v>
      </c>
      <c r="C10" s="10"/>
      <c r="D10" s="10">
        <f>Cland</f>
        <v>-5</v>
      </c>
      <c r="E10" s="10"/>
      <c r="F10" s="10"/>
      <c r="G10" s="10"/>
      <c r="H10" s="10"/>
      <c r="I10" s="10"/>
      <c r="J10" s="10"/>
      <c r="L10">
        <f>B10+D10</f>
        <v>-47.527349759964295</v>
      </c>
      <c r="M10" s="10">
        <f t="shared" ref="M10:M24" si="0">L10/(1+i)^(A10-1)</f>
        <v>-47.527349759964295</v>
      </c>
      <c r="N10" s="10">
        <f>M10</f>
        <v>-47.527349759964295</v>
      </c>
    </row>
    <row r="11" spans="1:16" x14ac:dyDescent="0.3">
      <c r="A11">
        <v>2</v>
      </c>
      <c r="B11" s="10">
        <f>0.5*CTDC</f>
        <v>-42.527349759964295</v>
      </c>
      <c r="C11" s="10">
        <f>WC</f>
        <v>-17.770371556282043</v>
      </c>
      <c r="D11" s="10"/>
      <c r="E11" s="10"/>
      <c r="F11" s="10">
        <f>Cstart</f>
        <v>-9.1232793187574348</v>
      </c>
      <c r="G11" s="10"/>
      <c r="H11" s="10"/>
      <c r="I11" s="10"/>
      <c r="J11" s="10"/>
      <c r="L11">
        <f>B11+C11+F11</f>
        <v>-69.421000635003779</v>
      </c>
      <c r="M11" s="10">
        <f t="shared" si="0"/>
        <v>-62.431637858747756</v>
      </c>
      <c r="N11" s="10">
        <f>N10+M11</f>
        <v>-109.95898761871206</v>
      </c>
    </row>
    <row r="12" spans="1:16" x14ac:dyDescent="0.3">
      <c r="A12">
        <v>3</v>
      </c>
      <c r="B12" s="10"/>
      <c r="C12" s="10"/>
      <c r="D12" s="10"/>
      <c r="E12" s="10">
        <f t="shared" ref="E12:E24" si="1">Croyal</f>
        <v>-14.871138824691188</v>
      </c>
      <c r="F12" s="10"/>
      <c r="G12" s="10"/>
      <c r="H12" s="10">
        <f>P12*-CTDC</f>
        <v>12.154316561397795</v>
      </c>
      <c r="I12" s="10">
        <f>0.5*S</f>
        <v>25.034705795059978</v>
      </c>
      <c r="J12" s="10">
        <f>0.5*COS</f>
        <v>-3.7604315812899611</v>
      </c>
      <c r="K12" s="10">
        <f>(1-tax)*(I12-J12-H12)</f>
        <v>10.816533529718892</v>
      </c>
      <c r="L12" s="10">
        <f t="shared" ref="L12:L23" si="2">K12+H12+E12</f>
        <v>8.0997112664254995</v>
      </c>
      <c r="M12" s="10">
        <f t="shared" si="0"/>
        <v>6.5508439818230499</v>
      </c>
      <c r="N12" s="10">
        <f t="shared" ref="N12:N24" si="3">N11+M12</f>
        <v>-103.40814363688901</v>
      </c>
      <c r="P12" s="11">
        <v>0.1429</v>
      </c>
    </row>
    <row r="13" spans="1:16" x14ac:dyDescent="0.3">
      <c r="A13">
        <v>4</v>
      </c>
      <c r="B13" s="10"/>
      <c r="C13" s="10"/>
      <c r="D13" s="10"/>
      <c r="E13" s="10">
        <f t="shared" si="1"/>
        <v>-14.871138824691188</v>
      </c>
      <c r="F13" s="10"/>
      <c r="G13" s="10"/>
      <c r="H13" s="10">
        <f t="shared" ref="H13:H19" si="4">P13*-CTDC</f>
        <v>20.829895912430512</v>
      </c>
      <c r="I13" s="10">
        <f>0.8*S</f>
        <v>40.055529272095967</v>
      </c>
      <c r="J13" s="10">
        <f>0.8*COS</f>
        <v>-6.0166905300639382</v>
      </c>
      <c r="K13" s="10">
        <f t="shared" ref="K13:K24" si="5">(1-tax)*(I13-J13-H13)</f>
        <v>16.407510528324107</v>
      </c>
      <c r="L13" s="10">
        <f t="shared" si="2"/>
        <v>22.366267616063432</v>
      </c>
      <c r="M13" s="10">
        <f t="shared" si="0"/>
        <v>16.268034873950132</v>
      </c>
      <c r="N13" s="10">
        <f t="shared" si="3"/>
        <v>-87.14010876293888</v>
      </c>
      <c r="P13" s="11">
        <v>0.24490000000000001</v>
      </c>
    </row>
    <row r="14" spans="1:16" x14ac:dyDescent="0.3">
      <c r="A14">
        <v>5</v>
      </c>
      <c r="B14" s="10"/>
      <c r="C14" s="10"/>
      <c r="D14" s="10"/>
      <c r="E14" s="10">
        <f t="shared" si="1"/>
        <v>-14.871138824691188</v>
      </c>
      <c r="F14" s="10"/>
      <c r="G14" s="10"/>
      <c r="H14" s="10">
        <f>P14*-CTDC</f>
        <v>14.876066946035511</v>
      </c>
      <c r="I14" s="10">
        <f t="shared" ref="I14:I24" si="6">S</f>
        <v>50.069411590119955</v>
      </c>
      <c r="J14" s="10">
        <f t="shared" ref="J14:J24" si="7">COS</f>
        <v>-7.5208631625799223</v>
      </c>
      <c r="K14" s="10">
        <f t="shared" si="5"/>
        <v>27.764235074331836</v>
      </c>
      <c r="L14" s="10">
        <f t="shared" si="2"/>
        <v>27.769163195676157</v>
      </c>
      <c r="M14" s="10">
        <f t="shared" si="0"/>
        <v>18.164281752286396</v>
      </c>
      <c r="N14" s="10">
        <f t="shared" si="3"/>
        <v>-68.97582701065248</v>
      </c>
      <c r="P14" s="11">
        <v>0.1749</v>
      </c>
    </row>
    <row r="15" spans="1:16" x14ac:dyDescent="0.3">
      <c r="A15">
        <v>6</v>
      </c>
      <c r="B15" s="10"/>
      <c r="C15" s="10"/>
      <c r="D15" s="10"/>
      <c r="E15" s="10">
        <f t="shared" si="1"/>
        <v>-14.871138824691188</v>
      </c>
      <c r="F15" s="10"/>
      <c r="G15" s="10"/>
      <c r="H15" s="10">
        <f t="shared" si="4"/>
        <v>10.62333197003908</v>
      </c>
      <c r="I15" s="10">
        <f t="shared" si="6"/>
        <v>50.069411590119955</v>
      </c>
      <c r="J15" s="10">
        <f t="shared" si="7"/>
        <v>-7.5208631625799223</v>
      </c>
      <c r="K15" s="10">
        <f t="shared" si="5"/>
        <v>30.528512808729516</v>
      </c>
      <c r="L15" s="10">
        <f t="shared" si="2"/>
        <v>26.280705954077412</v>
      </c>
      <c r="M15" s="10">
        <f t="shared" si="0"/>
        <v>15.459887287900182</v>
      </c>
      <c r="N15" s="10">
        <f t="shared" si="3"/>
        <v>-53.5159397227523</v>
      </c>
      <c r="P15" s="11">
        <v>0.1249</v>
      </c>
    </row>
    <row r="16" spans="1:16" x14ac:dyDescent="0.3">
      <c r="A16">
        <v>7</v>
      </c>
      <c r="B16" s="10"/>
      <c r="C16" s="10"/>
      <c r="D16" s="10"/>
      <c r="E16" s="10">
        <f t="shared" si="1"/>
        <v>-14.871138824691188</v>
      </c>
      <c r="F16" s="10"/>
      <c r="G16" s="10"/>
      <c r="H16" s="10">
        <f t="shared" si="4"/>
        <v>7.5953846671296237</v>
      </c>
      <c r="I16" s="10">
        <f t="shared" si="6"/>
        <v>50.069411590119955</v>
      </c>
      <c r="J16" s="10">
        <f t="shared" si="7"/>
        <v>-7.5208631625799223</v>
      </c>
      <c r="K16" s="10">
        <f t="shared" si="5"/>
        <v>32.496678555620669</v>
      </c>
      <c r="L16" s="10">
        <f t="shared" si="2"/>
        <v>25.220924398059104</v>
      </c>
      <c r="M16" s="10">
        <f t="shared" si="0"/>
        <v>13.342713346185976</v>
      </c>
      <c r="N16" s="10">
        <f t="shared" si="3"/>
        <v>-40.173226376566326</v>
      </c>
      <c r="P16" s="11">
        <v>8.9300000000000004E-2</v>
      </c>
    </row>
    <row r="17" spans="1:16" x14ac:dyDescent="0.3">
      <c r="A17">
        <v>8</v>
      </c>
      <c r="B17" s="10"/>
      <c r="C17" s="10"/>
      <c r="D17" s="10"/>
      <c r="E17" s="10">
        <f t="shared" si="1"/>
        <v>-14.871138824691188</v>
      </c>
      <c r="F17" s="10"/>
      <c r="G17" s="10"/>
      <c r="H17" s="10">
        <f t="shared" si="4"/>
        <v>7.5868791971776304</v>
      </c>
      <c r="I17" s="10">
        <f t="shared" si="6"/>
        <v>50.069411590119955</v>
      </c>
      <c r="J17" s="10">
        <f t="shared" si="7"/>
        <v>-7.5208631625799223</v>
      </c>
      <c r="K17" s="10">
        <f t="shared" si="5"/>
        <v>32.502207111089461</v>
      </c>
      <c r="L17" s="10">
        <f t="shared" si="2"/>
        <v>25.217947483575905</v>
      </c>
      <c r="M17" s="10">
        <f t="shared" si="0"/>
        <v>11.997941793725634</v>
      </c>
      <c r="N17" s="10">
        <f t="shared" si="3"/>
        <v>-28.175284582840693</v>
      </c>
      <c r="P17" s="11">
        <v>8.9200000000000002E-2</v>
      </c>
    </row>
    <row r="18" spans="1:16" x14ac:dyDescent="0.3">
      <c r="A18">
        <v>9</v>
      </c>
      <c r="B18" s="10"/>
      <c r="C18" s="10"/>
      <c r="D18" s="10"/>
      <c r="E18" s="10">
        <f t="shared" si="1"/>
        <v>-14.871138824691188</v>
      </c>
      <c r="F18" s="10"/>
      <c r="G18" s="10"/>
      <c r="H18" s="10">
        <f t="shared" si="4"/>
        <v>7.5953846671296237</v>
      </c>
      <c r="I18" s="10">
        <f t="shared" si="6"/>
        <v>50.069411590119955</v>
      </c>
      <c r="J18" s="10">
        <f t="shared" si="7"/>
        <v>-7.5208631625799223</v>
      </c>
      <c r="K18" s="10">
        <f t="shared" si="5"/>
        <v>32.496678555620669</v>
      </c>
      <c r="L18" s="10">
        <f t="shared" si="2"/>
        <v>25.220924398059104</v>
      </c>
      <c r="M18" s="10">
        <f t="shared" si="0"/>
        <v>10.791252990382931</v>
      </c>
      <c r="N18" s="10">
        <f t="shared" si="3"/>
        <v>-17.38403159245776</v>
      </c>
      <c r="P18" s="11">
        <v>8.9300000000000004E-2</v>
      </c>
    </row>
    <row r="19" spans="1:16" x14ac:dyDescent="0.3">
      <c r="A19">
        <v>10</v>
      </c>
      <c r="B19" s="10"/>
      <c r="C19" s="10"/>
      <c r="D19" s="10"/>
      <c r="E19" s="10">
        <f t="shared" si="1"/>
        <v>-14.871138824691188</v>
      </c>
      <c r="F19" s="10"/>
      <c r="G19" s="10"/>
      <c r="H19" s="10">
        <f t="shared" si="4"/>
        <v>3.7934395985888152</v>
      </c>
      <c r="I19" s="10">
        <f t="shared" si="6"/>
        <v>50.069411590119955</v>
      </c>
      <c r="J19" s="10">
        <f t="shared" si="7"/>
        <v>-7.5208631625799223</v>
      </c>
      <c r="K19" s="10">
        <f t="shared" si="5"/>
        <v>34.967942850172193</v>
      </c>
      <c r="L19" s="10">
        <f t="shared" si="2"/>
        <v>23.890243624069825</v>
      </c>
      <c r="M19" s="10">
        <f t="shared" si="0"/>
        <v>9.1927470846841608</v>
      </c>
      <c r="N19" s="10">
        <f t="shared" si="3"/>
        <v>-8.1912845077735987</v>
      </c>
      <c r="P19" s="11">
        <v>4.4600000000000001E-2</v>
      </c>
    </row>
    <row r="20" spans="1:16" x14ac:dyDescent="0.3">
      <c r="A20">
        <v>11</v>
      </c>
      <c r="B20" s="10"/>
      <c r="C20" s="10"/>
      <c r="D20" s="10"/>
      <c r="E20" s="10">
        <f t="shared" si="1"/>
        <v>-14.871138824691188</v>
      </c>
      <c r="F20" s="10"/>
      <c r="G20" s="10"/>
      <c r="H20" s="10"/>
      <c r="I20" s="10">
        <f t="shared" si="6"/>
        <v>50.069411590119955</v>
      </c>
      <c r="J20" s="10">
        <f t="shared" si="7"/>
        <v>-7.5208631625799223</v>
      </c>
      <c r="K20" s="10">
        <f t="shared" si="5"/>
        <v>37.433678589254924</v>
      </c>
      <c r="L20" s="10">
        <f t="shared" si="2"/>
        <v>22.562539764563738</v>
      </c>
      <c r="M20" s="10">
        <f t="shared" si="0"/>
        <v>7.807762191080057</v>
      </c>
      <c r="N20" s="10">
        <f t="shared" si="3"/>
        <v>-0.38352231669354175</v>
      </c>
    </row>
    <row r="21" spans="1:16" x14ac:dyDescent="0.3">
      <c r="A21">
        <v>12</v>
      </c>
      <c r="B21" s="10"/>
      <c r="C21" s="10"/>
      <c r="D21" s="10"/>
      <c r="E21" s="10">
        <f t="shared" si="1"/>
        <v>-14.871138824691188</v>
      </c>
      <c r="F21" s="10"/>
      <c r="G21" s="10"/>
      <c r="H21" s="10"/>
      <c r="I21" s="10">
        <f t="shared" si="6"/>
        <v>50.069411590119955</v>
      </c>
      <c r="J21" s="10">
        <f t="shared" si="7"/>
        <v>-7.5208631625799223</v>
      </c>
      <c r="K21" s="10">
        <f t="shared" si="5"/>
        <v>37.433678589254924</v>
      </c>
      <c r="L21" s="10">
        <f t="shared" si="2"/>
        <v>22.562539764563738</v>
      </c>
      <c r="M21" s="10">
        <f t="shared" si="0"/>
        <v>7.0216703467530834</v>
      </c>
      <c r="N21" s="10">
        <f t="shared" si="3"/>
        <v>6.6381480300595417</v>
      </c>
    </row>
    <row r="22" spans="1:16" x14ac:dyDescent="0.3">
      <c r="A22">
        <v>13</v>
      </c>
      <c r="B22" s="10"/>
      <c r="C22" s="10"/>
      <c r="D22" s="10"/>
      <c r="E22" s="10">
        <f t="shared" si="1"/>
        <v>-14.871138824691188</v>
      </c>
      <c r="F22" s="10"/>
      <c r="G22" s="10"/>
      <c r="H22" s="10"/>
      <c r="I22" s="10">
        <f t="shared" si="6"/>
        <v>50.069411590119955</v>
      </c>
      <c r="J22" s="10">
        <f t="shared" si="7"/>
        <v>-7.5208631625799223</v>
      </c>
      <c r="K22" s="10">
        <f t="shared" si="5"/>
        <v>37.433678589254924</v>
      </c>
      <c r="L22" s="10">
        <f t="shared" si="2"/>
        <v>22.562539764563738</v>
      </c>
      <c r="M22" s="10">
        <f t="shared" si="0"/>
        <v>6.3147228683269248</v>
      </c>
      <c r="N22" s="10">
        <f t="shared" si="3"/>
        <v>12.952870898386466</v>
      </c>
    </row>
    <row r="23" spans="1:16" x14ac:dyDescent="0.3">
      <c r="A23">
        <v>14</v>
      </c>
      <c r="B23" s="10"/>
      <c r="C23" s="10"/>
      <c r="D23" s="10"/>
      <c r="E23" s="10">
        <f t="shared" si="1"/>
        <v>-14.871138824691188</v>
      </c>
      <c r="F23" s="10"/>
      <c r="G23" s="10"/>
      <c r="H23" s="10"/>
      <c r="I23" s="10">
        <f t="shared" si="6"/>
        <v>50.069411590119955</v>
      </c>
      <c r="J23" s="10">
        <f t="shared" si="7"/>
        <v>-7.5208631625799223</v>
      </c>
      <c r="K23" s="10">
        <f t="shared" si="5"/>
        <v>37.433678589254924</v>
      </c>
      <c r="L23" s="10">
        <f t="shared" si="2"/>
        <v>22.562539764563738</v>
      </c>
      <c r="M23" s="10">
        <f t="shared" si="0"/>
        <v>5.6789514367062397</v>
      </c>
      <c r="N23" s="10">
        <f t="shared" si="3"/>
        <v>18.631822335092707</v>
      </c>
    </row>
    <row r="24" spans="1:16" x14ac:dyDescent="0.3">
      <c r="A24">
        <v>15</v>
      </c>
      <c r="B24" s="10"/>
      <c r="C24" s="10">
        <f>-WC</f>
        <v>17.770371556282043</v>
      </c>
      <c r="D24" s="10"/>
      <c r="E24" s="10">
        <f t="shared" si="1"/>
        <v>-14.871138824691188</v>
      </c>
      <c r="F24" s="10"/>
      <c r="G24" s="10"/>
      <c r="H24" s="10"/>
      <c r="I24" s="10">
        <f t="shared" si="6"/>
        <v>50.069411590119955</v>
      </c>
      <c r="J24" s="10">
        <f t="shared" si="7"/>
        <v>-7.5208631625799223</v>
      </c>
      <c r="K24" s="10">
        <f t="shared" si="5"/>
        <v>37.433678589254924</v>
      </c>
      <c r="L24" s="10">
        <f>C24+K24+G24+E24</f>
        <v>40.332911320845781</v>
      </c>
      <c r="M24" s="10">
        <f t="shared" si="0"/>
        <v>9.1296389103485449</v>
      </c>
      <c r="N24" s="10">
        <f t="shared" si="3"/>
        <v>27.761461245441254</v>
      </c>
    </row>
    <row r="25" spans="1:16" x14ac:dyDescent="0.3">
      <c r="C25" s="3"/>
      <c r="D25" s="2"/>
      <c r="E25" s="1"/>
      <c r="F25" s="2"/>
      <c r="G25" s="1"/>
      <c r="H25" s="1"/>
    </row>
    <row r="26" spans="1:16" x14ac:dyDescent="0.3">
      <c r="C26" s="3"/>
      <c r="D26" s="2"/>
      <c r="E26" s="1"/>
      <c r="F26" s="2"/>
      <c r="G26" s="1"/>
      <c r="H26" s="1"/>
    </row>
    <row r="27" spans="1:16" x14ac:dyDescent="0.3">
      <c r="C27" s="3"/>
      <c r="D27" s="2"/>
      <c r="E27" s="1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693420</xdr:colOff>
                    <xdr:row>13</xdr:row>
                    <xdr:rowOff>76200</xdr:rowOff>
                  </from>
                  <to>
                    <xdr:col>4</xdr:col>
                    <xdr:colOff>205740</xdr:colOff>
                    <xdr:row>15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1"/>
  <sheetViews>
    <sheetView tabSelected="1" workbookViewId="0">
      <selection sqref="A1:B11"/>
    </sheetView>
  </sheetViews>
  <sheetFormatPr defaultRowHeight="14.4" x14ac:dyDescent="0.3"/>
  <sheetData>
    <row r="1" spans="1:2" x14ac:dyDescent="0.3">
      <c r="A1">
        <v>-45</v>
      </c>
      <c r="B1">
        <v>8</v>
      </c>
    </row>
    <row r="2" spans="1:2" x14ac:dyDescent="0.3">
      <c r="A2">
        <v>-35</v>
      </c>
      <c r="B2">
        <v>6</v>
      </c>
    </row>
    <row r="3" spans="1:2" x14ac:dyDescent="0.3">
      <c r="A3">
        <v>-25</v>
      </c>
      <c r="B3">
        <v>20</v>
      </c>
    </row>
    <row r="4" spans="1:2" x14ac:dyDescent="0.3">
      <c r="A4">
        <v>-15</v>
      </c>
      <c r="B4">
        <v>13</v>
      </c>
    </row>
    <row r="5" spans="1:2" x14ac:dyDescent="0.3">
      <c r="A5">
        <v>-5</v>
      </c>
      <c r="B5">
        <v>13</v>
      </c>
    </row>
    <row r="6" spans="1:2" x14ac:dyDescent="0.3">
      <c r="A6">
        <v>5</v>
      </c>
      <c r="B6">
        <v>9</v>
      </c>
    </row>
    <row r="7" spans="1:2" x14ac:dyDescent="0.3">
      <c r="A7">
        <v>15</v>
      </c>
      <c r="B7">
        <v>12</v>
      </c>
    </row>
    <row r="8" spans="1:2" x14ac:dyDescent="0.3">
      <c r="A8">
        <v>25</v>
      </c>
      <c r="B8">
        <v>8</v>
      </c>
    </row>
    <row r="9" spans="1:2" x14ac:dyDescent="0.3">
      <c r="A9">
        <v>35</v>
      </c>
      <c r="B9">
        <v>7</v>
      </c>
    </row>
    <row r="10" spans="1:2" x14ac:dyDescent="0.3">
      <c r="A10">
        <v>45</v>
      </c>
      <c r="B10">
        <v>0</v>
      </c>
    </row>
    <row r="11" spans="1:2" x14ac:dyDescent="0.3">
      <c r="A11">
        <v>55</v>
      </c>
      <c r="B1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Gustavo Lodi</cp:lastModifiedBy>
  <dcterms:created xsi:type="dcterms:W3CDTF">2013-10-29T18:00:12Z</dcterms:created>
  <dcterms:modified xsi:type="dcterms:W3CDTF">2021-11-26T00:09:18Z</dcterms:modified>
</cp:coreProperties>
</file>